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sh\PycharmProjects\phd-work\Distribution fitting\fitted data\"/>
    </mc:Choice>
  </mc:AlternateContent>
  <xr:revisionPtr revIDLastSave="0" documentId="13_ncr:1_{4C0C10C7-462B-4D30-9D2E-6E38FA290C12}" xr6:coauthVersionLast="47" xr6:coauthVersionMax="47" xr10:uidLastSave="{00000000-0000-0000-0000-000000000000}"/>
  <bookViews>
    <workbookView xWindow="-108" yWindow="-108" windowWidth="23256" windowHeight="12456" xr2:uid="{C9B08768-7318-40CC-A197-4A9564CF8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</calcChain>
</file>

<file path=xl/sharedStrings.xml><?xml version="1.0" encoding="utf-8"?>
<sst xmlns="http://schemas.openxmlformats.org/spreadsheetml/2006/main" count="60" uniqueCount="31">
  <si>
    <t>beta</t>
  </si>
  <si>
    <t>norm</t>
  </si>
  <si>
    <t>lognorm</t>
  </si>
  <si>
    <t>logistic</t>
  </si>
  <si>
    <t>gamma</t>
  </si>
  <si>
    <t>rayleigh</t>
  </si>
  <si>
    <t>laplace</t>
  </si>
  <si>
    <t>pareto</t>
  </si>
  <si>
    <t>chi</t>
  </si>
  <si>
    <t>{'beta': {'a': 0.9682838560373657, 'b': 0.8062783202144057, 'loc': 11.759435750335197, 'scale': 29.240564249664807}}</t>
  </si>
  <si>
    <t>inf</t>
  </si>
  <si>
    <t>logistic: (loc, scale) = (35.392491312474974, 3.9894709901829306)</t>
  </si>
  <si>
    <t>{'logistic': {'loc': 20.619187622547926, 'scale': 3.402700917921969}}</t>
  </si>
  <si>
    <t>{'beta': {'a': 0.8557842561498632, 'b': 0.9121750708505023, 'loc': 12.999999999999998, 'scale': 36.41149151510446}}</t>
  </si>
  <si>
    <t>tw_start</t>
  </si>
  <si>
    <t>th_stop</t>
  </si>
  <si>
    <t>wr_start</t>
  </si>
  <si>
    <t>wr_stop</t>
  </si>
  <si>
    <t>Distribution</t>
  </si>
  <si>
    <t>Thawing time window open date: 'beta' {'a': 0.968, 'b': 0.806, 'loc': 11.759, 'scale': 29.240}</t>
  </si>
  <si>
    <t>Thawing time window close date: 'logistic' {'loc': 35.392, 'scale': 3.989}</t>
  </si>
  <si>
    <t>Winter road time window open date: 'logistic' {'loc': 20.619, 'scale': 3.403}</t>
  </si>
  <si>
    <t>Winter road close date: {'beta' {'a': 0.856, 'b': 0.912, 'loc': 12.999, 'scale': 36.411}</t>
  </si>
  <si>
    <t>Sum of Squares Error</t>
  </si>
  <si>
    <t>Criterion</t>
  </si>
  <si>
    <t>Rank</t>
  </si>
  <si>
    <t>P-Value</t>
  </si>
  <si>
    <t>Statistic</t>
  </si>
  <si>
    <t>Kolmogorov-Smirnov</t>
  </si>
  <si>
    <t>Akaike Information</t>
  </si>
  <si>
    <t xml:space="preserve">Cumulative Rank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</si>
</sst>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921C-1921-4E93-A904-80EEE29F8481}">
  <dimension ref="A1:I48"/>
  <sheetViews>
    <sheetView tabSelected="1" topLeftCell="A20" workbookViewId="0">
      <selection sqref="A1:I42"/>
    </sheetView>
  </sheetViews>
  <sheetFormatPr defaultRowHeight="14.4" x14ac:dyDescent="0.3"/>
  <cols>
    <col min="1" max="1" width="14.44140625" bestFit="1" customWidth="1"/>
    <col min="2" max="2" width="13.88671875" customWidth="1"/>
    <col min="4" max="4" width="8.5546875" bestFit="1" customWidth="1"/>
    <col min="6" max="6" width="9.33203125" customWidth="1"/>
    <col min="9" max="9" width="9.88671875" customWidth="1"/>
  </cols>
  <sheetData>
    <row r="1" spans="1:9" x14ac:dyDescent="0.3">
      <c r="A1" s="4" t="s">
        <v>18</v>
      </c>
      <c r="B1" s="5" t="s">
        <v>23</v>
      </c>
      <c r="C1" s="4" t="s">
        <v>25</v>
      </c>
      <c r="D1" s="4" t="s">
        <v>29</v>
      </c>
      <c r="E1" s="4"/>
      <c r="F1" s="4" t="s">
        <v>28</v>
      </c>
      <c r="G1" s="4"/>
      <c r="H1" s="4"/>
      <c r="I1" s="5" t="s">
        <v>30</v>
      </c>
    </row>
    <row r="2" spans="1:9" x14ac:dyDescent="0.3">
      <c r="A2" s="4"/>
      <c r="B2" s="5"/>
      <c r="C2" s="4"/>
      <c r="D2" s="6" t="s">
        <v>24</v>
      </c>
      <c r="E2" s="6" t="s">
        <v>25</v>
      </c>
      <c r="F2" s="6" t="s">
        <v>27</v>
      </c>
      <c r="G2" s="6" t="s">
        <v>26</v>
      </c>
      <c r="H2" s="6" t="s">
        <v>25</v>
      </c>
      <c r="I2" s="5"/>
    </row>
    <row r="3" spans="1:9" x14ac:dyDescent="0.3">
      <c r="A3" s="2" t="s">
        <v>19</v>
      </c>
      <c r="B3" s="2"/>
      <c r="C3" s="2"/>
      <c r="D3" s="2"/>
      <c r="E3" s="2"/>
      <c r="F3" s="2"/>
      <c r="G3" s="2"/>
      <c r="H3" s="2"/>
      <c r="I3" s="2"/>
    </row>
    <row r="4" spans="1:9" x14ac:dyDescent="0.3">
      <c r="A4" t="s">
        <v>0</v>
      </c>
      <c r="B4" s="3">
        <v>0.57645090399999999</v>
      </c>
      <c r="C4">
        <v>1</v>
      </c>
      <c r="D4" s="3">
        <v>686.75084960000004</v>
      </c>
      <c r="E4">
        <v>1</v>
      </c>
      <c r="F4">
        <v>0.119775918</v>
      </c>
      <c r="G4">
        <v>0.70373647399999995</v>
      </c>
      <c r="H4">
        <v>5</v>
      </c>
      <c r="I4">
        <v>7</v>
      </c>
    </row>
    <row r="5" spans="1:9" x14ac:dyDescent="0.3">
      <c r="A5" t="s">
        <v>1</v>
      </c>
      <c r="B5" s="3">
        <v>0.57688499999999998</v>
      </c>
      <c r="C5">
        <v>2</v>
      </c>
      <c r="D5" s="3">
        <v>719.93558010000004</v>
      </c>
      <c r="E5">
        <v>3</v>
      </c>
      <c r="F5">
        <v>0.11705718</v>
      </c>
      <c r="G5">
        <v>0.72941692800000002</v>
      </c>
      <c r="H5">
        <v>3</v>
      </c>
      <c r="I5">
        <v>8</v>
      </c>
    </row>
    <row r="6" spans="1:9" x14ac:dyDescent="0.3">
      <c r="A6" t="s">
        <v>2</v>
      </c>
      <c r="B6" s="3">
        <v>0.57688499999999998</v>
      </c>
      <c r="C6">
        <v>3</v>
      </c>
      <c r="D6" s="3">
        <v>721.93564200000003</v>
      </c>
      <c r="E6">
        <v>4</v>
      </c>
      <c r="F6">
        <v>0.117056521</v>
      </c>
      <c r="G6">
        <v>0.72942311000000004</v>
      </c>
      <c r="H6">
        <v>2</v>
      </c>
      <c r="I6">
        <v>9</v>
      </c>
    </row>
    <row r="7" spans="1:9" x14ac:dyDescent="0.3">
      <c r="A7" t="s">
        <v>3</v>
      </c>
      <c r="B7" s="3">
        <v>0.57816441200000002</v>
      </c>
      <c r="C7">
        <v>5</v>
      </c>
      <c r="D7" s="3">
        <v>730.92383259999997</v>
      </c>
      <c r="E7">
        <v>6</v>
      </c>
      <c r="F7">
        <v>0.110309606</v>
      </c>
      <c r="G7">
        <v>0.79105502400000005</v>
      </c>
      <c r="H7">
        <v>1</v>
      </c>
      <c r="I7">
        <v>12</v>
      </c>
    </row>
    <row r="8" spans="1:9" x14ac:dyDescent="0.3">
      <c r="A8" t="s">
        <v>4</v>
      </c>
      <c r="B8" s="3">
        <v>0.57794953400000004</v>
      </c>
      <c r="C8">
        <v>4</v>
      </c>
      <c r="D8" s="3">
        <v>721.99152389999995</v>
      </c>
      <c r="E8">
        <v>5</v>
      </c>
      <c r="F8">
        <v>0.119083575</v>
      </c>
      <c r="G8">
        <v>0.71030702000000001</v>
      </c>
      <c r="H8">
        <v>4</v>
      </c>
      <c r="I8">
        <v>13</v>
      </c>
    </row>
    <row r="9" spans="1:9" x14ac:dyDescent="0.3">
      <c r="A9" t="s">
        <v>5</v>
      </c>
      <c r="B9" s="3">
        <v>0.58657762199999997</v>
      </c>
      <c r="C9">
        <v>7</v>
      </c>
      <c r="D9" s="3">
        <v>710.31141790000004</v>
      </c>
      <c r="E9">
        <v>2</v>
      </c>
      <c r="F9">
        <v>0.14365285799999999</v>
      </c>
      <c r="G9">
        <v>0.48000356799999999</v>
      </c>
      <c r="H9">
        <v>7</v>
      </c>
      <c r="I9">
        <v>16</v>
      </c>
    </row>
    <row r="10" spans="1:9" x14ac:dyDescent="0.3">
      <c r="A10" t="s">
        <v>6</v>
      </c>
      <c r="B10" s="3">
        <v>0.58551618100000002</v>
      </c>
      <c r="C10">
        <v>6</v>
      </c>
      <c r="D10" s="3">
        <v>744.7308855</v>
      </c>
      <c r="E10">
        <v>8</v>
      </c>
      <c r="F10">
        <v>0.13123248000000001</v>
      </c>
      <c r="G10">
        <v>0.594120706</v>
      </c>
      <c r="H10">
        <v>6</v>
      </c>
      <c r="I10">
        <v>20</v>
      </c>
    </row>
    <row r="11" spans="1:9" x14ac:dyDescent="0.3">
      <c r="A11" t="s">
        <v>7</v>
      </c>
      <c r="B11" s="3">
        <v>0.62471909999999997</v>
      </c>
      <c r="C11">
        <v>8</v>
      </c>
      <c r="D11" s="3">
        <v>742.29438860000005</v>
      </c>
      <c r="E11">
        <v>7</v>
      </c>
      <c r="F11">
        <v>0.26978506499999999</v>
      </c>
      <c r="G11">
        <v>1.5099814E-2</v>
      </c>
      <c r="H11">
        <v>8</v>
      </c>
      <c r="I11">
        <v>23</v>
      </c>
    </row>
    <row r="12" spans="1:9" x14ac:dyDescent="0.3">
      <c r="A12" t="s">
        <v>8</v>
      </c>
      <c r="B12" s="3">
        <v>0.70254713599999996</v>
      </c>
      <c r="C12">
        <v>9</v>
      </c>
      <c r="D12" s="3">
        <v>5553.2378570000001</v>
      </c>
      <c r="E12">
        <v>9</v>
      </c>
      <c r="F12">
        <v>0.93019511099999996</v>
      </c>
      <c r="G12" s="1">
        <v>2.0200000000000001E-37</v>
      </c>
      <c r="H12">
        <v>9</v>
      </c>
      <c r="I12">
        <v>27</v>
      </c>
    </row>
    <row r="13" spans="1:9" x14ac:dyDescent="0.3">
      <c r="A13" s="2" t="s">
        <v>20</v>
      </c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t="s">
        <v>3</v>
      </c>
      <c r="B14" s="3">
        <v>0.35551232900000002</v>
      </c>
      <c r="C14">
        <v>2</v>
      </c>
      <c r="D14" s="3">
        <v>832.75154640000005</v>
      </c>
      <c r="E14">
        <v>5</v>
      </c>
      <c r="F14">
        <v>0.104412013</v>
      </c>
      <c r="G14">
        <v>0.84097065400000004</v>
      </c>
      <c r="H14">
        <v>1</v>
      </c>
      <c r="I14">
        <v>8</v>
      </c>
    </row>
    <row r="15" spans="1:9" x14ac:dyDescent="0.3">
      <c r="A15" t="s">
        <v>6</v>
      </c>
      <c r="B15" s="3">
        <v>0.349546633</v>
      </c>
      <c r="C15">
        <v>1</v>
      </c>
      <c r="D15" s="3">
        <v>840.34589240000003</v>
      </c>
      <c r="E15">
        <v>6</v>
      </c>
      <c r="F15">
        <v>0.113023359</v>
      </c>
      <c r="G15">
        <v>0.76671907699999997</v>
      </c>
      <c r="H15">
        <v>2</v>
      </c>
      <c r="I15">
        <v>9</v>
      </c>
    </row>
    <row r="16" spans="1:9" x14ac:dyDescent="0.3">
      <c r="A16" t="s">
        <v>1</v>
      </c>
      <c r="B16" s="3">
        <v>0.36292327600000002</v>
      </c>
      <c r="C16">
        <v>3</v>
      </c>
      <c r="D16" s="3">
        <v>805.74614069999996</v>
      </c>
      <c r="E16">
        <v>3</v>
      </c>
      <c r="F16">
        <v>0.160970527</v>
      </c>
      <c r="G16">
        <v>0.34113018000000001</v>
      </c>
      <c r="H16">
        <v>3</v>
      </c>
      <c r="I16">
        <v>9</v>
      </c>
    </row>
    <row r="17" spans="1:9" x14ac:dyDescent="0.3">
      <c r="A17" t="s">
        <v>2</v>
      </c>
      <c r="B17" s="3">
        <v>0.36292345599999998</v>
      </c>
      <c r="C17">
        <v>4</v>
      </c>
      <c r="D17" s="3">
        <v>807.74605559999998</v>
      </c>
      <c r="E17">
        <v>4</v>
      </c>
      <c r="F17">
        <v>0.16097133699999999</v>
      </c>
      <c r="G17">
        <v>0.34112435400000002</v>
      </c>
      <c r="H17">
        <v>4</v>
      </c>
      <c r="I17">
        <v>12</v>
      </c>
    </row>
    <row r="18" spans="1:9" x14ac:dyDescent="0.3">
      <c r="A18" t="s">
        <v>4</v>
      </c>
      <c r="B18" s="3">
        <v>0.36562072600000001</v>
      </c>
      <c r="C18">
        <v>5</v>
      </c>
      <c r="D18" s="3">
        <v>802.1900114</v>
      </c>
      <c r="E18">
        <v>2</v>
      </c>
      <c r="F18">
        <v>0.172057025</v>
      </c>
      <c r="G18">
        <v>0.26761425900000002</v>
      </c>
      <c r="H18">
        <v>5</v>
      </c>
      <c r="I18">
        <v>12</v>
      </c>
    </row>
    <row r="19" spans="1:9" x14ac:dyDescent="0.3">
      <c r="A19" t="s">
        <v>5</v>
      </c>
      <c r="B19" s="3">
        <v>0.39546833199999998</v>
      </c>
      <c r="C19">
        <v>6</v>
      </c>
      <c r="D19" s="3">
        <v>762.58381889999998</v>
      </c>
      <c r="E19">
        <v>1</v>
      </c>
      <c r="F19">
        <v>0.28379036000000002</v>
      </c>
      <c r="G19">
        <v>8.9732779999999995E-3</v>
      </c>
      <c r="H19">
        <v>6</v>
      </c>
      <c r="I19">
        <v>13</v>
      </c>
    </row>
    <row r="20" spans="1:9" x14ac:dyDescent="0.3">
      <c r="A20" t="s">
        <v>7</v>
      </c>
      <c r="B20" s="3">
        <v>0.44587029900000003</v>
      </c>
      <c r="C20">
        <v>7</v>
      </c>
      <c r="D20" s="3">
        <v>1283.5505599999999</v>
      </c>
      <c r="E20">
        <v>7</v>
      </c>
      <c r="F20">
        <v>0.579866616</v>
      </c>
      <c r="G20" s="1">
        <v>9.6800000000000004E-11</v>
      </c>
      <c r="H20">
        <v>7</v>
      </c>
      <c r="I20">
        <v>21</v>
      </c>
    </row>
    <row r="21" spans="1:9" x14ac:dyDescent="0.3">
      <c r="A21" t="s">
        <v>8</v>
      </c>
      <c r="B21" s="3">
        <v>0.45100093499999999</v>
      </c>
      <c r="C21">
        <v>8</v>
      </c>
      <c r="D21" s="3">
        <v>8366.4788590000007</v>
      </c>
      <c r="E21">
        <v>8</v>
      </c>
      <c r="F21">
        <v>0.93749996800000002</v>
      </c>
      <c r="G21" s="1">
        <v>5.8799999999999997E-39</v>
      </c>
      <c r="H21">
        <v>8</v>
      </c>
      <c r="I21">
        <v>24</v>
      </c>
    </row>
    <row r="22" spans="1:9" x14ac:dyDescent="0.3">
      <c r="A22" t="s">
        <v>0</v>
      </c>
      <c r="B22" s="3">
        <v>0.47340287399999997</v>
      </c>
      <c r="C22">
        <v>9</v>
      </c>
      <c r="D22" t="s">
        <v>10</v>
      </c>
      <c r="E22">
        <v>9</v>
      </c>
      <c r="F22">
        <v>1</v>
      </c>
      <c r="G22">
        <v>0</v>
      </c>
      <c r="H22">
        <v>9</v>
      </c>
      <c r="I22">
        <v>27</v>
      </c>
    </row>
    <row r="23" spans="1:9" x14ac:dyDescent="0.3">
      <c r="A23" s="2" t="s">
        <v>21</v>
      </c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t="s">
        <v>3</v>
      </c>
      <c r="B24" s="3">
        <v>1.03832379</v>
      </c>
      <c r="C24">
        <v>1</v>
      </c>
      <c r="D24" s="3">
        <v>728.29368810000005</v>
      </c>
      <c r="E24">
        <v>7</v>
      </c>
      <c r="F24">
        <v>0.103541378</v>
      </c>
      <c r="G24">
        <v>0.87201777199999997</v>
      </c>
      <c r="H24">
        <v>1</v>
      </c>
      <c r="I24">
        <f>H24+E24+C24</f>
        <v>9</v>
      </c>
    </row>
    <row r="25" spans="1:9" x14ac:dyDescent="0.3">
      <c r="A25" t="s">
        <v>1</v>
      </c>
      <c r="B25" s="3">
        <v>1.0413224249999999</v>
      </c>
      <c r="C25">
        <v>2</v>
      </c>
      <c r="D25" s="3">
        <v>716.12605450000001</v>
      </c>
      <c r="E25">
        <v>3</v>
      </c>
      <c r="F25">
        <v>0.121833122</v>
      </c>
      <c r="G25">
        <v>0.71954721899999996</v>
      </c>
      <c r="H25">
        <v>4</v>
      </c>
      <c r="I25">
        <f>H25+E25+C25</f>
        <v>9</v>
      </c>
    </row>
    <row r="26" spans="1:9" x14ac:dyDescent="0.3">
      <c r="A26" t="s">
        <v>2</v>
      </c>
      <c r="B26" s="3">
        <v>1.0416986939999999</v>
      </c>
      <c r="C26">
        <v>3</v>
      </c>
      <c r="D26" s="3">
        <v>717.46024290000003</v>
      </c>
      <c r="E26">
        <v>5</v>
      </c>
      <c r="F26">
        <v>0.117857661</v>
      </c>
      <c r="G26">
        <v>0.75545889899999996</v>
      </c>
      <c r="H26">
        <v>2</v>
      </c>
      <c r="I26">
        <f>H26+E26+C26</f>
        <v>10</v>
      </c>
    </row>
    <row r="27" spans="1:9" x14ac:dyDescent="0.3">
      <c r="A27" t="s">
        <v>4</v>
      </c>
      <c r="B27" s="3">
        <v>1.041717215</v>
      </c>
      <c r="C27">
        <v>4</v>
      </c>
      <c r="D27" s="3">
        <v>717.40700890000005</v>
      </c>
      <c r="E27">
        <v>4</v>
      </c>
      <c r="F27">
        <v>0.11786833200000001</v>
      </c>
      <c r="G27">
        <v>0.75536382000000002</v>
      </c>
      <c r="H27">
        <v>3</v>
      </c>
      <c r="I27">
        <f>H27+E27+C27</f>
        <v>11</v>
      </c>
    </row>
    <row r="28" spans="1:9" x14ac:dyDescent="0.3">
      <c r="A28" t="s">
        <v>0</v>
      </c>
      <c r="B28" s="3">
        <v>1.042822189</v>
      </c>
      <c r="C28">
        <v>5</v>
      </c>
      <c r="D28" s="3">
        <v>715.64284640000005</v>
      </c>
      <c r="E28">
        <v>2</v>
      </c>
      <c r="F28">
        <v>0.122104438</v>
      </c>
      <c r="G28">
        <v>0.71706604600000001</v>
      </c>
      <c r="H28">
        <v>5</v>
      </c>
      <c r="I28">
        <f>H28+E28+C28</f>
        <v>12</v>
      </c>
    </row>
    <row r="29" spans="1:9" x14ac:dyDescent="0.3">
      <c r="A29" t="s">
        <v>5</v>
      </c>
      <c r="B29" s="3">
        <v>1.056607501</v>
      </c>
      <c r="C29">
        <v>7</v>
      </c>
      <c r="D29" s="3">
        <v>699.0090927</v>
      </c>
      <c r="E29">
        <v>1</v>
      </c>
      <c r="F29">
        <v>0.16531453800000001</v>
      </c>
      <c r="G29">
        <v>0.34653082600000001</v>
      </c>
      <c r="H29">
        <v>7</v>
      </c>
      <c r="I29">
        <f>H29+E29+C29</f>
        <v>15</v>
      </c>
    </row>
    <row r="30" spans="1:9" x14ac:dyDescent="0.3">
      <c r="A30" t="s">
        <v>6</v>
      </c>
      <c r="B30" s="3">
        <v>1.0433123849999999</v>
      </c>
      <c r="C30">
        <v>6</v>
      </c>
      <c r="D30" s="3">
        <v>740.94193789999997</v>
      </c>
      <c r="E30">
        <v>8</v>
      </c>
      <c r="F30">
        <v>0.13959386700000001</v>
      </c>
      <c r="G30">
        <v>0.55572484099999997</v>
      </c>
      <c r="H30">
        <v>6</v>
      </c>
      <c r="I30">
        <f>H30+E30+C30</f>
        <v>20</v>
      </c>
    </row>
    <row r="31" spans="1:9" x14ac:dyDescent="0.3">
      <c r="A31" t="s">
        <v>7</v>
      </c>
      <c r="B31" s="3">
        <v>1.1228082269999999</v>
      </c>
      <c r="C31">
        <v>8</v>
      </c>
      <c r="D31" s="3">
        <v>726.98808589999999</v>
      </c>
      <c r="E31">
        <v>6</v>
      </c>
      <c r="F31">
        <v>0.29207160700000001</v>
      </c>
      <c r="G31">
        <v>9.2205280000000004E-3</v>
      </c>
      <c r="H31">
        <v>8</v>
      </c>
      <c r="I31">
        <f>H31+E31+C31</f>
        <v>22</v>
      </c>
    </row>
    <row r="32" spans="1:9" x14ac:dyDescent="0.3">
      <c r="A32" t="s">
        <v>8</v>
      </c>
      <c r="B32" s="3">
        <v>1.3935297579999999</v>
      </c>
      <c r="C32">
        <v>9</v>
      </c>
      <c r="D32" s="3">
        <v>4374.7565690000001</v>
      </c>
      <c r="E32">
        <v>9</v>
      </c>
      <c r="F32">
        <v>0.92478982600000004</v>
      </c>
      <c r="G32" s="1">
        <v>3.8800000000000003E-34</v>
      </c>
      <c r="H32">
        <v>9</v>
      </c>
      <c r="I32">
        <f>H32+E32+C32</f>
        <v>27</v>
      </c>
    </row>
    <row r="33" spans="1:9" x14ac:dyDescent="0.3">
      <c r="A33" s="2" t="s">
        <v>22</v>
      </c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t="s">
        <v>0</v>
      </c>
      <c r="B34" s="3">
        <v>0.38484441400000002</v>
      </c>
      <c r="C34">
        <v>1</v>
      </c>
      <c r="D34" s="3">
        <v>729.01559280000004</v>
      </c>
      <c r="E34">
        <v>1</v>
      </c>
      <c r="F34">
        <v>0.13171645200000001</v>
      </c>
      <c r="G34">
        <v>0.62805652700000003</v>
      </c>
      <c r="H34">
        <v>1</v>
      </c>
      <c r="I34">
        <v>3</v>
      </c>
    </row>
    <row r="35" spans="1:9" x14ac:dyDescent="0.3">
      <c r="A35" t="s">
        <v>1</v>
      </c>
      <c r="B35" s="3">
        <v>0.393993331</v>
      </c>
      <c r="C35">
        <v>3</v>
      </c>
      <c r="D35" s="3">
        <v>756.12480459999995</v>
      </c>
      <c r="E35">
        <v>3</v>
      </c>
      <c r="F35">
        <v>0.14507758600000001</v>
      </c>
      <c r="G35">
        <v>0.50698049599999995</v>
      </c>
      <c r="H35">
        <v>3</v>
      </c>
      <c r="I35">
        <v>9</v>
      </c>
    </row>
    <row r="36" spans="1:9" x14ac:dyDescent="0.3">
      <c r="A36" t="s">
        <v>4</v>
      </c>
      <c r="B36" s="3">
        <v>0.39408049299999998</v>
      </c>
      <c r="C36">
        <v>5</v>
      </c>
      <c r="D36" s="3">
        <v>758.12921410000001</v>
      </c>
      <c r="E36">
        <v>5</v>
      </c>
      <c r="F36">
        <v>0.145022495</v>
      </c>
      <c r="G36">
        <v>0.50746126300000005</v>
      </c>
      <c r="H36">
        <v>2</v>
      </c>
      <c r="I36">
        <v>12</v>
      </c>
    </row>
    <row r="37" spans="1:9" x14ac:dyDescent="0.3">
      <c r="A37" t="s">
        <v>2</v>
      </c>
      <c r="B37" s="3">
        <v>0.39399370700000003</v>
      </c>
      <c r="C37">
        <v>4</v>
      </c>
      <c r="D37" s="3">
        <v>758.12481230000003</v>
      </c>
      <c r="E37">
        <v>4</v>
      </c>
      <c r="F37">
        <v>0.145077597</v>
      </c>
      <c r="G37">
        <v>0.50698039800000005</v>
      </c>
      <c r="H37">
        <v>4</v>
      </c>
      <c r="I37">
        <v>12</v>
      </c>
    </row>
    <row r="38" spans="1:9" x14ac:dyDescent="0.3">
      <c r="A38" t="s">
        <v>5</v>
      </c>
      <c r="B38" s="3">
        <v>0.39563861700000003</v>
      </c>
      <c r="C38">
        <v>7</v>
      </c>
      <c r="D38" s="3">
        <v>751.45784730000003</v>
      </c>
      <c r="E38">
        <v>2</v>
      </c>
      <c r="F38">
        <v>0.15859721399999999</v>
      </c>
      <c r="G38">
        <v>0.39589542100000003</v>
      </c>
      <c r="H38">
        <v>6</v>
      </c>
      <c r="I38">
        <v>15</v>
      </c>
    </row>
    <row r="39" spans="1:9" x14ac:dyDescent="0.3">
      <c r="A39" t="s">
        <v>6</v>
      </c>
      <c r="B39" s="3">
        <v>0.38969426200000001</v>
      </c>
      <c r="C39">
        <v>2</v>
      </c>
      <c r="D39" s="3">
        <v>782.40737469999999</v>
      </c>
      <c r="E39">
        <v>7</v>
      </c>
      <c r="F39">
        <v>0.16293017700000001</v>
      </c>
      <c r="G39">
        <v>0.36357735899999999</v>
      </c>
      <c r="H39">
        <v>7</v>
      </c>
      <c r="I39">
        <v>16</v>
      </c>
    </row>
    <row r="40" spans="1:9" x14ac:dyDescent="0.3">
      <c r="A40" t="s">
        <v>3</v>
      </c>
      <c r="B40" s="3">
        <v>0.394636137</v>
      </c>
      <c r="C40">
        <v>6</v>
      </c>
      <c r="D40" s="3">
        <v>765.08288689999995</v>
      </c>
      <c r="E40">
        <v>6</v>
      </c>
      <c r="F40">
        <v>0.147381344</v>
      </c>
      <c r="G40">
        <v>0.48705861499999997</v>
      </c>
      <c r="H40">
        <v>5</v>
      </c>
      <c r="I40">
        <v>17</v>
      </c>
    </row>
    <row r="41" spans="1:9" x14ac:dyDescent="0.3">
      <c r="A41" t="s">
        <v>7</v>
      </c>
      <c r="B41" s="3">
        <v>0.40310196300000001</v>
      </c>
      <c r="C41">
        <v>8</v>
      </c>
      <c r="D41" s="3">
        <v>784.11701129999994</v>
      </c>
      <c r="E41">
        <v>8</v>
      </c>
      <c r="F41">
        <v>0.26308340200000002</v>
      </c>
      <c r="G41">
        <v>2.5412128999999999E-2</v>
      </c>
      <c r="H41">
        <v>8</v>
      </c>
      <c r="I41">
        <v>24</v>
      </c>
    </row>
    <row r="42" spans="1:9" x14ac:dyDescent="0.3">
      <c r="A42" t="s">
        <v>8</v>
      </c>
      <c r="B42" s="3">
        <v>0.46250746500000001</v>
      </c>
      <c r="C42">
        <v>9</v>
      </c>
      <c r="D42" s="3">
        <v>7558.2901869999996</v>
      </c>
      <c r="E42">
        <v>9</v>
      </c>
      <c r="F42">
        <v>0.95041202400000002</v>
      </c>
      <c r="G42" s="1">
        <v>1.4499999999999999E-39</v>
      </c>
      <c r="H42">
        <v>9</v>
      </c>
      <c r="I42">
        <v>27</v>
      </c>
    </row>
    <row r="45" spans="1:9" x14ac:dyDescent="0.3">
      <c r="A45" t="s">
        <v>14</v>
      </c>
      <c r="B45" t="s">
        <v>9</v>
      </c>
    </row>
    <row r="46" spans="1:9" x14ac:dyDescent="0.3">
      <c r="A46" t="s">
        <v>15</v>
      </c>
      <c r="B46" t="s">
        <v>11</v>
      </c>
    </row>
    <row r="47" spans="1:9" x14ac:dyDescent="0.3">
      <c r="A47" t="s">
        <v>16</v>
      </c>
      <c r="B47" t="s">
        <v>12</v>
      </c>
    </row>
    <row r="48" spans="1:9" x14ac:dyDescent="0.3">
      <c r="A48" t="s">
        <v>17</v>
      </c>
      <c r="B48" t="s">
        <v>13</v>
      </c>
    </row>
  </sheetData>
  <mergeCells count="10">
    <mergeCell ref="C1:C2"/>
    <mergeCell ref="A3:I3"/>
    <mergeCell ref="A13:I13"/>
    <mergeCell ref="A23:I23"/>
    <mergeCell ref="A33:I33"/>
    <mergeCell ref="A1:A2"/>
    <mergeCell ref="B1:B2"/>
    <mergeCell ref="D1:E1"/>
    <mergeCell ref="F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 Naumets</dc:creator>
  <cp:lastModifiedBy>Serhii Naumets</cp:lastModifiedBy>
  <dcterms:created xsi:type="dcterms:W3CDTF">2025-06-17T20:55:28Z</dcterms:created>
  <dcterms:modified xsi:type="dcterms:W3CDTF">2025-06-17T22:56:31Z</dcterms:modified>
</cp:coreProperties>
</file>